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1a80410d6fdd5b9/Documents/"/>
    </mc:Choice>
  </mc:AlternateContent>
  <xr:revisionPtr revIDLastSave="119" documentId="8_{9A4E9C85-CBF0-417D-95E3-2D2C58741EBB}" xr6:coauthVersionLast="47" xr6:coauthVersionMax="47" xr10:uidLastSave="{ECC368F2-45B6-4FE3-92AF-D11350864D15}"/>
  <bookViews>
    <workbookView xWindow="-108" yWindow="-108" windowWidth="23256" windowHeight="12456" xr2:uid="{3F73A646-9EE3-43C1-94FD-37A23BDC014F}"/>
  </bookViews>
  <sheets>
    <sheet name="BOM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048576" i="2" l="1"/>
  <c r="G22" i="2"/>
  <c r="G21" i="2"/>
  <c r="G20" i="2"/>
  <c r="G19" i="2"/>
  <c r="G18" i="2"/>
  <c r="G17" i="2"/>
  <c r="G16" i="2"/>
  <c r="G15" i="2"/>
  <c r="G14" i="2"/>
  <c r="D13" i="2"/>
  <c r="G13" i="2" s="1"/>
  <c r="G12" i="2"/>
  <c r="G11" i="2"/>
  <c r="G10" i="2"/>
  <c r="G9" i="2"/>
  <c r="G8" i="2"/>
  <c r="G6" i="2"/>
  <c r="G5" i="2"/>
  <c r="G4" i="2"/>
  <c r="G3" i="2"/>
  <c r="G2" i="2"/>
  <c r="G23" i="2" l="1"/>
</calcChain>
</file>

<file path=xl/sharedStrings.xml><?xml version="1.0" encoding="utf-8"?>
<sst xmlns="http://schemas.openxmlformats.org/spreadsheetml/2006/main" count="71" uniqueCount="68">
  <si>
    <t>Component</t>
  </si>
  <si>
    <t>Part</t>
  </si>
  <si>
    <t>Qty</t>
  </si>
  <si>
    <t>Controller</t>
  </si>
  <si>
    <t>Skin temp</t>
  </si>
  <si>
    <t>MAX30205 module</t>
  </si>
  <si>
    <t>Pulse</t>
  </si>
  <si>
    <t>MAX30102 module</t>
  </si>
  <si>
    <t>Motion</t>
  </si>
  <si>
    <t>Room temp</t>
  </si>
  <si>
    <t>Charger</t>
  </si>
  <si>
    <t>Battery</t>
  </si>
  <si>
    <t>Regulator</t>
  </si>
  <si>
    <t>Carrier PCB</t>
  </si>
  <si>
    <t>#</t>
  </si>
  <si>
    <t>Key specs (datasheet values)</t>
  </si>
  <si>
    <t>Unit price (INR)</t>
  </si>
  <si>
    <t>Line total (INR)</t>
  </si>
  <si>
    <t>ESP32 DevKit (classic ESP32-WROOM-32, CP2102, USB-C)</t>
  </si>
  <si>
    <t>Supply 2.7 to 3.3 V; accuracy +/-0.1 C only from 37 to 39 C; 16-bit resolution 0.00390625 C; ~600 uA typ supply current; range 0 to 50 C; I2C, 3 address pins (32 addresses); one-shot and shutdown modes; overtemperature output pin.</t>
  </si>
  <si>
    <t>Red 660 nm + IR 880 nm LEDs; 18-bit ADC; sample rate 50 to 3200 Hz; 32-sample FIFO; I2C address 0x57; interrupt pin; chip core 1.8 V + separate LED supply; module VIN about 3.3 V; &lt;6 mA with LEDs off (module).</t>
  </si>
  <si>
    <t>MPU6050 (GY-521 module)</t>
  </si>
  <si>
    <t>3-axis gyro (+/-250 to 2000 deg/s) + 3-axis accelerometer (+/-2, 4, 8, 16 g); 16-bit ADC; I2C 0x68 (AD0 low) or 0x69 (AD0 high); module supply 3 to 5 V via onboard LDO; 2.54 mm headers.</t>
  </si>
  <si>
    <t>AHT20 module</t>
  </si>
  <si>
    <t>Temperature +/-0.3 C, humidity +/-2 %RH (ASAIR datasheet, not re-checked here); I2C fixed address 0x38; chip supply 2.0 to 5.5 V; module typically has onboard pull-ups.</t>
  </si>
  <si>
    <t>TP4056 with protection, USB-C</t>
  </si>
  <si>
    <t>Input 4.5 to 5.5 V (USB-C); TP4056 charger IC + DW01 protection; 1 A default charge current (set by PROG resistor); charging accuracy 1.5%; end-of-charge 4.2 V; cuts load below 2.4 V; short-circuit/over-current protection; red/green LEDs.</t>
  </si>
  <si>
    <t>LiPo 3.7 V 500 mAh (503035 size, JST-PH 2-pin, with PCM)</t>
  </si>
  <si>
    <t>Nominal 3.7 V, 4.2 V full, 500 mAh (~1.85 Wh); typical size 5 x 30 x 35 mm, ~10 g; built-in protection circuit (PCM); JST-PH 2.0 mm 2-pin lead. Charge at 0.5C (250 mA) or less.</t>
  </si>
  <si>
    <t>AP2112K-3.3 (SOT-23-5)</t>
  </si>
  <si>
    <t>Regulator support</t>
  </si>
  <si>
    <t>SOT-23-5 to DIP adapter board</t>
  </si>
  <si>
    <t>Adapter so the SMD regulator can be used on a breadboard before the carrier PCB exists.</t>
  </si>
  <si>
    <t>Passives</t>
  </si>
  <si>
    <t>Resistor 100 kOhm</t>
  </si>
  <si>
    <t>Resistor 4.7 kOhm</t>
  </si>
  <si>
    <t>R1, R2: I2C pull-ups on SDA and SCL. 1/4 W, 5% or better.</t>
  </si>
  <si>
    <t>Capacitor 0.1 uF (100 nF)</t>
  </si>
  <si>
    <t>Capacitor 1 uF</t>
  </si>
  <si>
    <t>C5, C6: AP2112K input and output. Ceramic, 10 V or higher; the AP2112K datasheet asks for 1 uF on both.</t>
  </si>
  <si>
    <t>Switch</t>
  </si>
  <si>
    <t>SPST slide switch</t>
  </si>
  <si>
    <t>SW1: main power switch between battery + and the regulator input. Rated for at least 0.5 A at 5 V.</t>
  </si>
  <si>
    <t>Headers</t>
  </si>
  <si>
    <t>2.54 mm male + female pin header strips</t>
  </si>
  <si>
    <t>2 x 1x19 female sockets for the 38-pin DevKit, plus male/female strips for the sensor modules</t>
  </si>
  <si>
    <t>Connector</t>
  </si>
  <si>
    <t>JST-PH 2-pin socket (to match battery)</t>
  </si>
  <si>
    <t>2.0 mm pitch; must match the battery plug</t>
  </si>
  <si>
    <t>Prototyping</t>
  </si>
  <si>
    <t>Breadboard + jumper wires</t>
  </si>
  <si>
    <t>Half-size breadboard and male-to-female jumper pack</t>
  </si>
  <si>
    <t>FR4, 1.6 mm, 2-layer; holds ESP32 DevKit and sensor modules on headers. Small runs are normally sold in 5s.</t>
  </si>
  <si>
    <t>Band</t>
  </si>
  <si>
    <t>Elastic strap 35 mm + hook-and-loop</t>
  </si>
  <si>
    <t>Nylon/spandex elastic, 35 mm wide, 22 to 34 cm adjustable length</t>
  </si>
  <si>
    <t>Pod</t>
  </si>
  <si>
    <t>PETG 3D print of casing (about 75 x 45 x 20 mm)</t>
  </si>
  <si>
    <t>PETG, 2 mm walls, rounded corners</t>
  </si>
  <si>
    <t>Skin contact</t>
  </si>
  <si>
    <t>Copper disc 8 mm + foam + clear window</t>
  </si>
  <si>
    <t>Thermal pad for skin-temp sensor, foam insulation, 10 mm clear optical window for the pulse sensor</t>
  </si>
  <si>
    <t>TOTAL (INR)</t>
  </si>
  <si>
    <t>C1 to C4: one decoupling capacitor each for MAX30205, AHT20, MAX30102, MPU6050. Modules already carry their own, so these are extra decoupling.</t>
  </si>
  <si>
    <t>Custom 2-layer carrier board (KiCad design)</t>
  </si>
  <si>
    <t>R3, R4: battery-voltage divider to GPIO34. 1/4 W, 1% .</t>
  </si>
  <si>
    <t xml:space="preserve">Fixed 3.3 V LDO; 600 mA output; dropout ~250 mV at 600 mA; input 2.5 to 6 V; ~55 uA quiescent; enable pin; SOT-23-5 </t>
  </si>
  <si>
    <t xml:space="preserve">ESP32-WROOM-32 module; dual-core Xtensa LX6 up to 240 MHz; 520 KB SRAM; 4 MB flash; Wi-Fi 802.11 b/g/n + Bluetooth 4.2/BLE; 3.3 V logic; 5 V via USB; CP2102 USB-to-UART bridge, USB-C.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</si>
</sst>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color rgb="FF2215C5"/>
      <name val="Arial"/>
      <family val="2"/>
    </font>
    <font>
      <sz val="11"/>
      <color rgb="FF2215C5"/>
      <name val="Aptos Narrow"/>
      <family val="2"/>
      <scheme val="minor"/>
    </font>
    <font>
      <b/>
      <sz val="10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1"/>
        <bgColor rgb="FF993366"/>
      </patternFill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/>
    <xf numFmtId="3" fontId="3" fillId="0" borderId="0" xfId="0" applyNumberFormat="1" applyFont="1"/>
    <xf numFmtId="0" fontId="2" fillId="0" borderId="0" xfId="0" applyFont="1"/>
    <xf numFmtId="3" fontId="2" fillId="0" borderId="0" xfId="0" applyNumberFormat="1" applyFont="1"/>
    <xf numFmtId="0" fontId="2" fillId="0" borderId="1" xfId="0" applyFont="1" applyBorder="1" applyAlignment="1">
      <alignment horizontal="center" vertical="top" wrapText="1"/>
    </xf>
    <xf numFmtId="3" fontId="2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5" fillId="0" borderId="0" xfId="0" applyFont="1"/>
    <xf numFmtId="3" fontId="4" fillId="0" borderId="1" xfId="0" applyNumberFormat="1" applyFont="1" applyBorder="1" applyAlignment="1">
      <alignment horizontal="center" vertical="top" wrapText="1"/>
    </xf>
    <xf numFmtId="0" fontId="6" fillId="2" borderId="1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2215C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2181D-F995-436C-991B-218853EAED9E}">
  <dimension ref="A1:G1048576"/>
  <sheetViews>
    <sheetView tabSelected="1" topLeftCell="A14" workbookViewId="0">
      <selection activeCell="B25" sqref="B25"/>
    </sheetView>
  </sheetViews>
  <sheetFormatPr defaultRowHeight="14.4" x14ac:dyDescent="0.3"/>
  <cols>
    <col min="1" max="1" width="3.88671875" customWidth="1"/>
    <col min="2" max="2" width="30.21875" customWidth="1"/>
    <col min="3" max="3" width="27.6640625" customWidth="1"/>
    <col min="4" max="4" width="8.5546875" style="9" customWidth="1"/>
    <col min="5" max="5" width="34.44140625" customWidth="1"/>
    <col min="6" max="6" width="14.5546875" style="9" customWidth="1"/>
    <col min="7" max="7" width="14.88671875" customWidth="1"/>
  </cols>
  <sheetData>
    <row r="1" spans="1:7" s="12" customFormat="1" x14ac:dyDescent="0.3">
      <c r="A1" s="11" t="s">
        <v>14</v>
      </c>
      <c r="B1" s="11" t="s">
        <v>0</v>
      </c>
      <c r="C1" s="11" t="s">
        <v>1</v>
      </c>
      <c r="D1" s="11" t="s">
        <v>2</v>
      </c>
      <c r="E1" s="11" t="s">
        <v>15</v>
      </c>
      <c r="F1" s="11" t="s">
        <v>16</v>
      </c>
      <c r="G1" s="11" t="s">
        <v>17</v>
      </c>
    </row>
    <row r="2" spans="1:7" s="1" customFormat="1" ht="79.2" x14ac:dyDescent="0.3">
      <c r="A2" s="6">
        <v>1</v>
      </c>
      <c r="B2" s="6" t="s">
        <v>3</v>
      </c>
      <c r="C2" s="6" t="s">
        <v>18</v>
      </c>
      <c r="D2" s="8">
        <v>1</v>
      </c>
      <c r="E2" s="6" t="s">
        <v>67</v>
      </c>
      <c r="F2" s="10">
        <v>459</v>
      </c>
      <c r="G2" s="7">
        <f t="shared" ref="G2:G22" si="0">D2*F2</f>
        <v>459</v>
      </c>
    </row>
    <row r="3" spans="1:7" s="1" customFormat="1" ht="92.4" x14ac:dyDescent="0.3">
      <c r="A3" s="6">
        <v>2</v>
      </c>
      <c r="B3" s="6" t="s">
        <v>4</v>
      </c>
      <c r="C3" s="6" t="s">
        <v>5</v>
      </c>
      <c r="D3" s="8">
        <v>1</v>
      </c>
      <c r="E3" s="6" t="s">
        <v>19</v>
      </c>
      <c r="F3" s="10">
        <v>750</v>
      </c>
      <c r="G3" s="7">
        <f t="shared" si="0"/>
        <v>750</v>
      </c>
    </row>
    <row r="4" spans="1:7" s="1" customFormat="1" ht="79.2" x14ac:dyDescent="0.3">
      <c r="A4" s="6">
        <v>3</v>
      </c>
      <c r="B4" s="6" t="s">
        <v>6</v>
      </c>
      <c r="C4" s="6" t="s">
        <v>7</v>
      </c>
      <c r="D4" s="8">
        <v>1</v>
      </c>
      <c r="E4" s="6" t="s">
        <v>20</v>
      </c>
      <c r="F4" s="10">
        <v>130</v>
      </c>
      <c r="G4" s="7">
        <f t="shared" si="0"/>
        <v>130</v>
      </c>
    </row>
    <row r="5" spans="1:7" s="1" customFormat="1" ht="66" x14ac:dyDescent="0.3">
      <c r="A5" s="6">
        <v>4</v>
      </c>
      <c r="B5" s="6" t="s">
        <v>8</v>
      </c>
      <c r="C5" s="6" t="s">
        <v>21</v>
      </c>
      <c r="D5" s="8">
        <v>1</v>
      </c>
      <c r="E5" s="6" t="s">
        <v>22</v>
      </c>
      <c r="F5" s="10">
        <v>150</v>
      </c>
      <c r="G5" s="7">
        <f t="shared" si="0"/>
        <v>150</v>
      </c>
    </row>
    <row r="6" spans="1:7" s="1" customFormat="1" ht="66" x14ac:dyDescent="0.3">
      <c r="A6" s="6">
        <v>5</v>
      </c>
      <c r="B6" s="6" t="s">
        <v>9</v>
      </c>
      <c r="C6" s="6" t="s">
        <v>23</v>
      </c>
      <c r="D6" s="8">
        <v>1</v>
      </c>
      <c r="E6" s="6" t="s">
        <v>24</v>
      </c>
      <c r="F6" s="10">
        <v>130</v>
      </c>
      <c r="G6" s="7">
        <f t="shared" si="0"/>
        <v>130</v>
      </c>
    </row>
    <row r="7" spans="1:7" s="1" customFormat="1" ht="92.4" x14ac:dyDescent="0.3">
      <c r="A7" s="6">
        <v>6</v>
      </c>
      <c r="B7" s="6" t="s">
        <v>10</v>
      </c>
      <c r="C7" s="6" t="s">
        <v>25</v>
      </c>
      <c r="D7" s="8">
        <v>1</v>
      </c>
      <c r="E7" s="6" t="s">
        <v>26</v>
      </c>
      <c r="F7" s="10">
        <v>45</v>
      </c>
      <c r="G7" s="7">
        <v>45</v>
      </c>
    </row>
    <row r="8" spans="1:7" s="1" customFormat="1" ht="66" x14ac:dyDescent="0.3">
      <c r="A8" s="6">
        <v>7</v>
      </c>
      <c r="B8" s="6" t="s">
        <v>11</v>
      </c>
      <c r="C8" s="6" t="s">
        <v>27</v>
      </c>
      <c r="D8" s="8">
        <v>1</v>
      </c>
      <c r="E8" s="6" t="s">
        <v>28</v>
      </c>
      <c r="F8" s="10">
        <v>300</v>
      </c>
      <c r="G8" s="7">
        <f t="shared" si="0"/>
        <v>300</v>
      </c>
    </row>
    <row r="9" spans="1:7" s="1" customFormat="1" ht="52.8" x14ac:dyDescent="0.3">
      <c r="A9" s="6">
        <v>8</v>
      </c>
      <c r="B9" s="6" t="s">
        <v>12</v>
      </c>
      <c r="C9" s="6" t="s">
        <v>29</v>
      </c>
      <c r="D9" s="8">
        <v>1</v>
      </c>
      <c r="E9" s="6" t="s">
        <v>66</v>
      </c>
      <c r="F9" s="10">
        <v>30</v>
      </c>
      <c r="G9" s="7">
        <f t="shared" si="0"/>
        <v>30</v>
      </c>
    </row>
    <row r="10" spans="1:7" s="1" customFormat="1" ht="39.6" x14ac:dyDescent="0.3">
      <c r="A10" s="6">
        <v>9</v>
      </c>
      <c r="B10" s="6" t="s">
        <v>30</v>
      </c>
      <c r="C10" s="6" t="s">
        <v>31</v>
      </c>
      <c r="D10" s="8">
        <v>1</v>
      </c>
      <c r="E10" s="6" t="s">
        <v>32</v>
      </c>
      <c r="F10" s="10">
        <v>15</v>
      </c>
      <c r="G10" s="7">
        <f t="shared" si="0"/>
        <v>15</v>
      </c>
    </row>
    <row r="11" spans="1:7" s="1" customFormat="1" ht="26.4" x14ac:dyDescent="0.3">
      <c r="A11" s="6">
        <v>10</v>
      </c>
      <c r="B11" s="6" t="s">
        <v>33</v>
      </c>
      <c r="C11" s="6" t="s">
        <v>34</v>
      </c>
      <c r="D11" s="8">
        <v>2</v>
      </c>
      <c r="E11" s="6" t="s">
        <v>65</v>
      </c>
      <c r="F11" s="10">
        <v>2</v>
      </c>
      <c r="G11" s="7">
        <f t="shared" si="0"/>
        <v>4</v>
      </c>
    </row>
    <row r="12" spans="1:7" s="1" customFormat="1" ht="26.4" x14ac:dyDescent="0.3">
      <c r="A12" s="6">
        <v>11</v>
      </c>
      <c r="B12" s="6" t="s">
        <v>33</v>
      </c>
      <c r="C12" s="6" t="s">
        <v>35</v>
      </c>
      <c r="D12" s="8">
        <v>2</v>
      </c>
      <c r="E12" s="6" t="s">
        <v>36</v>
      </c>
      <c r="F12" s="10">
        <v>2</v>
      </c>
      <c r="G12" s="7">
        <f t="shared" si="0"/>
        <v>4</v>
      </c>
    </row>
    <row r="13" spans="1:7" s="1" customFormat="1" ht="66" x14ac:dyDescent="0.3">
      <c r="A13" s="6">
        <v>12</v>
      </c>
      <c r="B13" s="6" t="s">
        <v>33</v>
      </c>
      <c r="C13" s="6" t="s">
        <v>37</v>
      </c>
      <c r="D13" s="8">
        <f>4+IF($C$3="DISCRETE",1,0)</f>
        <v>4</v>
      </c>
      <c r="E13" s="6" t="s">
        <v>63</v>
      </c>
      <c r="F13" s="10">
        <v>3</v>
      </c>
      <c r="G13" s="7">
        <f t="shared" si="0"/>
        <v>12</v>
      </c>
    </row>
    <row r="14" spans="1:7" s="1" customFormat="1" ht="39.6" x14ac:dyDescent="0.3">
      <c r="A14" s="6">
        <v>13</v>
      </c>
      <c r="B14" s="6" t="s">
        <v>33</v>
      </c>
      <c r="C14" s="6" t="s">
        <v>38</v>
      </c>
      <c r="D14" s="8">
        <v>2</v>
      </c>
      <c r="E14" s="6" t="s">
        <v>39</v>
      </c>
      <c r="F14" s="10">
        <v>4</v>
      </c>
      <c r="G14" s="7">
        <f t="shared" si="0"/>
        <v>8</v>
      </c>
    </row>
    <row r="15" spans="1:7" s="1" customFormat="1" ht="39.6" x14ac:dyDescent="0.3">
      <c r="A15" s="6">
        <v>14</v>
      </c>
      <c r="B15" s="6" t="s">
        <v>40</v>
      </c>
      <c r="C15" s="6" t="s">
        <v>41</v>
      </c>
      <c r="D15" s="8">
        <v>1</v>
      </c>
      <c r="E15" s="6" t="s">
        <v>42</v>
      </c>
      <c r="F15" s="10">
        <v>10</v>
      </c>
      <c r="G15" s="7">
        <f t="shared" si="0"/>
        <v>10</v>
      </c>
    </row>
    <row r="16" spans="1:7" s="1" customFormat="1" ht="39.6" x14ac:dyDescent="0.3">
      <c r="A16" s="6">
        <v>15</v>
      </c>
      <c r="B16" s="6" t="s">
        <v>43</v>
      </c>
      <c r="C16" s="6" t="s">
        <v>44</v>
      </c>
      <c r="D16" s="8">
        <v>1</v>
      </c>
      <c r="E16" s="6" t="s">
        <v>45</v>
      </c>
      <c r="F16" s="10">
        <v>40</v>
      </c>
      <c r="G16" s="7">
        <f t="shared" si="0"/>
        <v>40</v>
      </c>
    </row>
    <row r="17" spans="1:7" s="1" customFormat="1" ht="26.4" x14ac:dyDescent="0.3">
      <c r="A17" s="6">
        <v>16</v>
      </c>
      <c r="B17" s="6" t="s">
        <v>46</v>
      </c>
      <c r="C17" s="6" t="s">
        <v>47</v>
      </c>
      <c r="D17" s="8">
        <v>1</v>
      </c>
      <c r="E17" s="6" t="s">
        <v>48</v>
      </c>
      <c r="F17" s="10">
        <v>15</v>
      </c>
      <c r="G17" s="7">
        <f t="shared" si="0"/>
        <v>15</v>
      </c>
    </row>
    <row r="18" spans="1:7" s="1" customFormat="1" ht="26.4" x14ac:dyDescent="0.3">
      <c r="A18" s="6">
        <v>17</v>
      </c>
      <c r="B18" s="6" t="s">
        <v>49</v>
      </c>
      <c r="C18" s="6" t="s">
        <v>50</v>
      </c>
      <c r="D18" s="8">
        <v>1</v>
      </c>
      <c r="E18" s="6" t="s">
        <v>51</v>
      </c>
      <c r="F18" s="10">
        <v>150</v>
      </c>
      <c r="G18" s="7">
        <f t="shared" si="0"/>
        <v>150</v>
      </c>
    </row>
    <row r="19" spans="1:7" s="1" customFormat="1" ht="39.6" x14ac:dyDescent="0.3">
      <c r="A19" s="6">
        <v>18</v>
      </c>
      <c r="B19" s="6" t="s">
        <v>13</v>
      </c>
      <c r="C19" s="6" t="s">
        <v>64</v>
      </c>
      <c r="D19" s="8">
        <v>5</v>
      </c>
      <c r="E19" s="6" t="s">
        <v>52</v>
      </c>
      <c r="F19" s="10">
        <v>300</v>
      </c>
      <c r="G19" s="7">
        <f t="shared" si="0"/>
        <v>1500</v>
      </c>
    </row>
    <row r="20" spans="1:7" s="1" customFormat="1" ht="26.4" x14ac:dyDescent="0.3">
      <c r="A20" s="6">
        <v>19</v>
      </c>
      <c r="B20" s="6" t="s">
        <v>53</v>
      </c>
      <c r="C20" s="6" t="s">
        <v>54</v>
      </c>
      <c r="D20" s="8">
        <v>1</v>
      </c>
      <c r="E20" s="6" t="s">
        <v>55</v>
      </c>
      <c r="F20" s="10">
        <v>200</v>
      </c>
      <c r="G20" s="7">
        <f t="shared" si="0"/>
        <v>200</v>
      </c>
    </row>
    <row r="21" spans="1:7" s="1" customFormat="1" ht="26.4" x14ac:dyDescent="0.3">
      <c r="A21" s="6">
        <v>20</v>
      </c>
      <c r="B21" s="6" t="s">
        <v>56</v>
      </c>
      <c r="C21" s="6" t="s">
        <v>57</v>
      </c>
      <c r="D21" s="8">
        <v>1</v>
      </c>
      <c r="E21" s="6" t="s">
        <v>58</v>
      </c>
      <c r="F21" s="10">
        <v>400</v>
      </c>
      <c r="G21" s="7">
        <f t="shared" si="0"/>
        <v>400</v>
      </c>
    </row>
    <row r="22" spans="1:7" s="1" customFormat="1" ht="39.6" x14ac:dyDescent="0.3">
      <c r="A22" s="6">
        <v>21</v>
      </c>
      <c r="B22" s="6" t="s">
        <v>59</v>
      </c>
      <c r="C22" s="6" t="s">
        <v>60</v>
      </c>
      <c r="D22" s="8">
        <v>1</v>
      </c>
      <c r="E22" s="6" t="s">
        <v>61</v>
      </c>
      <c r="F22" s="10">
        <v>100</v>
      </c>
      <c r="G22" s="7">
        <f t="shared" si="0"/>
        <v>100</v>
      </c>
    </row>
    <row r="23" spans="1:7" s="1" customFormat="1" x14ac:dyDescent="0.3">
      <c r="A23"/>
      <c r="B23" s="2" t="s">
        <v>62</v>
      </c>
      <c r="C23"/>
      <c r="D23" s="9"/>
      <c r="E23"/>
      <c r="F23" s="9"/>
      <c r="G23" s="3">
        <f>SUM(G2:G22)</f>
        <v>4452</v>
      </c>
    </row>
    <row r="24" spans="1:7" s="1" customFormat="1" x14ac:dyDescent="0.3">
      <c r="A24"/>
      <c r="B24" s="4"/>
      <c r="C24"/>
      <c r="D24" s="9"/>
      <c r="E24"/>
      <c r="F24" s="9"/>
      <c r="G24" s="5"/>
    </row>
    <row r="25" spans="1:7" x14ac:dyDescent="0.3">
      <c r="B25" s="4"/>
      <c r="G25" s="5"/>
    </row>
    <row r="1048576" spans="1:1" x14ac:dyDescent="0.3">
      <c r="A1048576">
        <f>COUNT(A2:A1048575)</f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Anannya Kanchan</dc:creator>
  <cp:lastModifiedBy>Anannya Kanchan</cp:lastModifiedBy>
  <dcterms:created xsi:type="dcterms:W3CDTF">2026-10-23T13:55:17Z</dcterms:created>
  <dcterms:modified xsi:type="dcterms:W3CDTF">2026-10-25T13:53:44Z</dcterms:modified>
</cp:coreProperties>
</file>